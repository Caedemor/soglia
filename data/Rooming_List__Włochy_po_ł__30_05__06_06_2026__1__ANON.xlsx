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lista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b val="1"/>
      <color theme="1"/>
      <sz val="10"/>
    </font>
    <font>
      <name val="Arial ce"/>
      <b val="1"/>
      <color theme="1"/>
      <sz val="10"/>
    </font>
    <font>
      <name val="Arial"/>
      <charset val="238"/>
      <family val="2"/>
      <color theme="1"/>
      <sz val="10"/>
    </font>
    <font>
      <name val="Arial"/>
      <charset val="238"/>
      <family val="2"/>
      <color rgb="FF000000"/>
      <sz val="9.9"/>
    </font>
    <font>
      <name val="Arial ce"/>
      <color theme="1"/>
      <sz val="10"/>
    </font>
    <font>
      <name val="Arial"/>
      <charset val="238"/>
      <family val="2"/>
      <color theme="1"/>
      <sz val="9.9"/>
    </font>
    <font>
      <name val="Times New Roman"/>
      <charset val="238"/>
      <family val="1"/>
      <b val="1"/>
      <color theme="1"/>
      <sz val="9.9"/>
    </font>
    <font>
      <name val="Calibri"/>
      <charset val="238"/>
      <family val="2"/>
      <color theme="1"/>
      <sz val="9"/>
    </font>
    <font>
      <name val="Calibri"/>
      <charset val="238"/>
      <family val="2"/>
      <b val="1"/>
      <color theme="1"/>
      <sz val="9"/>
    </font>
    <font>
      <name val="Arial"/>
      <charset val="238"/>
      <family val="2"/>
      <color rgb="FF000000"/>
      <sz val="10"/>
    </font>
    <font>
      <name val="Times New Roman"/>
      <charset val="238"/>
      <family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1" applyAlignment="1" pivotButton="0" quotePrefix="0" xfId="0">
      <alignment wrapText="1"/>
    </xf>
    <xf numFmtId="0" fontId="0" fillId="0" borderId="2" pivotButton="0" quotePrefix="0" xfId="0"/>
    <xf numFmtId="0" fontId="7" fillId="3" borderId="1" pivotButton="0" quotePrefix="0" xfId="0"/>
    <xf numFmtId="0" fontId="4" fillId="7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 vertical="top" wrapText="1"/>
    </xf>
    <xf numFmtId="14" fontId="4" fillId="7" borderId="1" applyAlignment="1" pivotButton="0" quotePrefix="0" xfId="0">
      <alignment horizontal="left" wrapText="1"/>
    </xf>
    <xf numFmtId="14" fontId="3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/>
    </xf>
    <xf numFmtId="0" fontId="9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/>
    </xf>
    <xf numFmtId="14" fontId="3" fillId="7" borderId="1" applyAlignment="1" pivotButton="0" quotePrefix="0" xfId="0">
      <alignment horizontal="left" wrapText="1"/>
    </xf>
    <xf numFmtId="14" fontId="6" fillId="7" borderId="1" applyAlignment="1" pivotButton="0" quotePrefix="0" xfId="0">
      <alignment horizontal="left" wrapText="1"/>
    </xf>
    <xf numFmtId="0" fontId="10" fillId="4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top" wrapText="1"/>
    </xf>
    <xf numFmtId="0" fontId="8" fillId="3" borderId="4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tabSelected="1" topLeftCell="A15" workbookViewId="0">
      <selection activeCell="I52" sqref="I52"/>
    </sheetView>
  </sheetViews>
  <sheetFormatPr baseColWidth="8" defaultRowHeight="14.5"/>
  <cols>
    <col width="3.90625" customWidth="1" min="1" max="1"/>
    <col width="17.81640625" bestFit="1" customWidth="1" min="2" max="2"/>
    <col width="21.90625" bestFit="1" customWidth="1" min="3" max="3"/>
    <col width="11.81640625" bestFit="1" customWidth="1" min="4" max="4"/>
    <col width="11.36328125" customWidth="1" min="5" max="5"/>
  </cols>
  <sheetData>
    <row r="1" ht="22.5" customHeight="1">
      <c r="A1" s="21" t="inlineStr">
        <is>
          <t>No.</t>
        </is>
      </c>
      <c r="B1" s="21" t="inlineStr">
        <is>
          <t>Last Name</t>
        </is>
      </c>
      <c r="C1" s="21" t="inlineStr">
        <is>
          <t>First Name</t>
        </is>
      </c>
      <c r="D1" s="21" t="inlineStr">
        <is>
          <t>Date of Birth</t>
        </is>
      </c>
      <c r="E1" s="21" t="inlineStr">
        <is>
          <t xml:space="preserve">ROOMING LIST </t>
        </is>
      </c>
    </row>
    <row r="2">
      <c r="A2" s="28" t="n"/>
      <c r="B2" s="28" t="n"/>
      <c r="C2" s="28" t="n"/>
      <c r="D2" s="28" t="n"/>
      <c r="E2" s="28" t="n"/>
    </row>
    <row r="3">
      <c r="A3" s="2" t="n">
        <v>1</v>
      </c>
      <c r="B3" s="5" t="inlineStr">
        <is>
          <t>GUIDE NOWAK</t>
        </is>
      </c>
      <c r="C3" s="5" t="inlineStr">
        <is>
          <t>Krzysztof</t>
        </is>
      </c>
      <c r="D3" s="18" t="n">
        <v>24702</v>
      </c>
      <c r="E3" s="20" t="inlineStr">
        <is>
          <t>SGL</t>
        </is>
      </c>
    </row>
    <row r="4">
      <c r="A4" s="2" t="n">
        <v>2</v>
      </c>
      <c r="B4" s="4" t="inlineStr">
        <is>
          <t>Ks. KOWALCZYK</t>
        </is>
      </c>
      <c r="C4" s="4" t="inlineStr">
        <is>
          <t>ANDRZEJ</t>
        </is>
      </c>
      <c r="D4" s="6" t="n">
        <v>29911</v>
      </c>
      <c r="E4" s="20" t="inlineStr">
        <is>
          <t>SGL</t>
        </is>
      </c>
    </row>
    <row r="5">
      <c r="A5" s="2" t="n">
        <v>3</v>
      </c>
      <c r="B5" s="4" t="inlineStr">
        <is>
          <t>Mazur</t>
        </is>
      </c>
      <c r="C5" s="5" t="inlineStr">
        <is>
          <t>Tomasz Grzegorz</t>
        </is>
      </c>
      <c r="D5" s="7" t="n">
        <v>20295</v>
      </c>
      <c r="E5" s="25" t="inlineStr">
        <is>
          <t>DBL</t>
        </is>
      </c>
    </row>
    <row r="6">
      <c r="A6" s="2" t="n">
        <v>4</v>
      </c>
      <c r="B6" s="4" t="inlineStr">
        <is>
          <t>Mazur</t>
        </is>
      </c>
      <c r="C6" s="4" t="inlineStr">
        <is>
          <t>Agnieszka</t>
        </is>
      </c>
      <c r="D6" s="6" t="n">
        <v>19657</v>
      </c>
      <c r="E6" s="28" t="n"/>
    </row>
    <row r="7">
      <c r="A7" s="2" t="n">
        <v>5</v>
      </c>
      <c r="B7" s="5" t="inlineStr">
        <is>
          <t>Kowalski</t>
        </is>
      </c>
      <c r="C7" s="5" t="inlineStr">
        <is>
          <t>Marcin</t>
        </is>
      </c>
      <c r="D7" s="7" t="n">
        <v>23018</v>
      </c>
      <c r="E7" s="25" t="inlineStr">
        <is>
          <t>DBL</t>
        </is>
      </c>
    </row>
    <row r="8">
      <c r="A8" s="2" t="n">
        <v>6</v>
      </c>
      <c r="B8" s="4" t="inlineStr">
        <is>
          <t>Kowalska</t>
        </is>
      </c>
      <c r="C8" s="5" t="inlineStr">
        <is>
          <t>Magdalena Renata</t>
        </is>
      </c>
      <c r="D8" s="7" t="n">
        <v>23386</v>
      </c>
      <c r="E8" s="28" t="n"/>
    </row>
    <row r="9" ht="17.4" customHeight="1">
      <c r="A9" s="2" t="n">
        <v>7</v>
      </c>
      <c r="B9" s="4" t="inlineStr">
        <is>
          <t>WÓJCIK</t>
        </is>
      </c>
      <c r="C9" s="4" t="inlineStr">
        <is>
          <t>MONIKA</t>
        </is>
      </c>
      <c r="D9" s="19" t="n">
        <v>24935</v>
      </c>
      <c r="E9" s="25" t="inlineStr">
        <is>
          <t>DBL</t>
        </is>
      </c>
    </row>
    <row r="10" ht="15.65" customHeight="1">
      <c r="A10" s="2" t="n">
        <v>8</v>
      </c>
      <c r="B10" s="4" t="inlineStr">
        <is>
          <t>WÓJCIK</t>
        </is>
      </c>
      <c r="C10" s="4" t="inlineStr">
        <is>
          <t>MICHAŁ</t>
        </is>
      </c>
      <c r="D10" s="6" t="n">
        <v>24520</v>
      </c>
      <c r="E10" s="28" t="n"/>
    </row>
    <row r="11">
      <c r="A11" s="2" t="n">
        <v>9</v>
      </c>
      <c r="B11" s="4" t="inlineStr">
        <is>
          <t>Wiśniewski</t>
        </is>
      </c>
      <c r="C11" s="4" t="inlineStr">
        <is>
          <t>Grzegorz</t>
        </is>
      </c>
      <c r="D11" s="6" t="n">
        <v>23038</v>
      </c>
      <c r="E11" s="25" t="inlineStr">
        <is>
          <t>DBL</t>
        </is>
      </c>
    </row>
    <row r="12">
      <c r="A12" s="2" t="n">
        <v>10</v>
      </c>
      <c r="B12" s="4" t="inlineStr">
        <is>
          <t>Wiśniewska</t>
        </is>
      </c>
      <c r="C12" s="4" t="inlineStr">
        <is>
          <t>Dorota</t>
        </is>
      </c>
      <c r="D12" s="6" t="n">
        <v>23275</v>
      </c>
      <c r="E12" s="28" t="n"/>
    </row>
    <row r="13">
      <c r="A13" s="2" t="n">
        <v>11</v>
      </c>
      <c r="B13" s="4" t="inlineStr">
        <is>
          <t>Krawczyk</t>
        </is>
      </c>
      <c r="C13" s="4" t="inlineStr">
        <is>
          <t>Aleksandra</t>
        </is>
      </c>
      <c r="D13" s="6" t="n">
        <v>22853</v>
      </c>
      <c r="E13" s="25" t="inlineStr">
        <is>
          <t>DBL</t>
        </is>
      </c>
    </row>
    <row r="14">
      <c r="A14" s="2" t="n">
        <v>12</v>
      </c>
      <c r="B14" s="4" t="inlineStr">
        <is>
          <t>Krawczyk</t>
        </is>
      </c>
      <c r="C14" s="4" t="inlineStr">
        <is>
          <t>Grzegorz</t>
        </is>
      </c>
      <c r="D14" s="6" t="n">
        <v>22573</v>
      </c>
      <c r="E14" s="28" t="n"/>
    </row>
    <row r="15">
      <c r="A15" s="2" t="n">
        <v>13</v>
      </c>
      <c r="B15" s="4" t="inlineStr">
        <is>
          <t>Kaczmarek</t>
        </is>
      </c>
      <c r="C15" s="4" t="inlineStr">
        <is>
          <t>Marta Karolina</t>
        </is>
      </c>
      <c r="D15" s="6" t="n">
        <v>24576</v>
      </c>
      <c r="E15" s="25" t="inlineStr">
        <is>
          <t>DBL</t>
        </is>
      </c>
    </row>
    <row r="16">
      <c r="A16" s="2" t="n">
        <v>14</v>
      </c>
      <c r="B16" s="4" t="inlineStr">
        <is>
          <t>Kaczmarek</t>
        </is>
      </c>
      <c r="C16" s="4" t="inlineStr">
        <is>
          <t>Wojciech</t>
        </is>
      </c>
      <c r="D16" s="6" t="n">
        <v>19515</v>
      </c>
      <c r="E16" s="28" t="n"/>
    </row>
    <row r="17">
      <c r="A17" s="2" t="n">
        <v>15</v>
      </c>
      <c r="B17" s="4" t="inlineStr">
        <is>
          <t>Sikora</t>
        </is>
      </c>
      <c r="C17" s="4" t="inlineStr">
        <is>
          <t>Justyna</t>
        </is>
      </c>
      <c r="D17" s="6" t="n">
        <v>22184</v>
      </c>
      <c r="E17" s="26" t="inlineStr">
        <is>
          <t>TWN</t>
        </is>
      </c>
    </row>
    <row r="18">
      <c r="A18" s="2" t="n">
        <v>16</v>
      </c>
      <c r="B18" s="4" t="inlineStr">
        <is>
          <t>Zając</t>
        </is>
      </c>
      <c r="C18" s="4" t="inlineStr">
        <is>
          <t>Sylwia Dorota</t>
        </is>
      </c>
      <c r="D18" s="6" t="n">
        <v>24808</v>
      </c>
      <c r="E18" s="28" t="n"/>
    </row>
    <row r="19" ht="14.4" customHeight="1">
      <c r="A19" s="2" t="n">
        <v>17</v>
      </c>
      <c r="B19" s="4" t="inlineStr">
        <is>
          <t>Lis-Dąbrowska</t>
        </is>
      </c>
      <c r="C19" s="4" t="inlineStr">
        <is>
          <t>Iwona Urszula</t>
        </is>
      </c>
      <c r="D19" s="6" t="n">
        <v>24546</v>
      </c>
      <c r="E19" s="25" t="inlineStr">
        <is>
          <t>DBL</t>
        </is>
      </c>
    </row>
    <row r="20">
      <c r="A20" s="2" t="n">
        <v>18</v>
      </c>
      <c r="B20" s="4" t="inlineStr">
        <is>
          <t>Dąbrowski</t>
        </is>
      </c>
      <c r="C20" s="4" t="inlineStr">
        <is>
          <t>Sebastian Karol</t>
        </is>
      </c>
      <c r="D20" s="6" t="n">
        <v>22199</v>
      </c>
      <c r="E20" s="28" t="n"/>
    </row>
    <row r="21">
      <c r="A21" s="2" t="n">
        <v>19</v>
      </c>
      <c r="B21" s="4" t="inlineStr">
        <is>
          <t>PAWLAK</t>
        </is>
      </c>
      <c r="C21" s="4" t="inlineStr">
        <is>
          <t>JANUSZ</t>
        </is>
      </c>
      <c r="D21" s="6" t="n">
        <v>24599</v>
      </c>
      <c r="E21" s="25" t="inlineStr">
        <is>
          <t>DBL</t>
        </is>
      </c>
    </row>
    <row r="22">
      <c r="A22" s="2" t="n">
        <v>20</v>
      </c>
      <c r="B22" s="4" t="inlineStr">
        <is>
          <t>Pawlak</t>
        </is>
      </c>
      <c r="C22" s="4" t="inlineStr">
        <is>
          <t>Teresa</t>
        </is>
      </c>
      <c r="D22" s="19" t="n">
        <v>25774</v>
      </c>
      <c r="E22" s="28" t="n"/>
    </row>
    <row r="23">
      <c r="A23" s="2" t="n">
        <v>21</v>
      </c>
      <c r="B23" s="4" t="inlineStr">
        <is>
          <t>Baran</t>
        </is>
      </c>
      <c r="C23" s="4" t="inlineStr">
        <is>
          <t>Danuta Jadwiga</t>
        </is>
      </c>
      <c r="D23" s="19" t="n">
        <v>35760</v>
      </c>
      <c r="E23" s="26" t="inlineStr">
        <is>
          <t>TWN</t>
        </is>
      </c>
    </row>
    <row r="24">
      <c r="A24" s="2" t="n">
        <v>22</v>
      </c>
      <c r="B24" s="4" t="inlineStr">
        <is>
          <t>Baran</t>
        </is>
      </c>
      <c r="C24" s="4" t="inlineStr">
        <is>
          <t>Marzena Irena</t>
        </is>
      </c>
      <c r="D24" s="6" t="n">
        <v>26240</v>
      </c>
      <c r="E24" s="28" t="n"/>
    </row>
    <row r="25">
      <c r="A25" s="2" t="n">
        <v>23</v>
      </c>
      <c r="B25" s="4" t="inlineStr">
        <is>
          <t>KRÓL</t>
        </is>
      </c>
      <c r="C25" s="4" t="inlineStr">
        <is>
          <t>JOLANTA WANDA</t>
        </is>
      </c>
      <c r="D25" s="6" t="n">
        <v>23016</v>
      </c>
      <c r="E25" s="25" t="inlineStr">
        <is>
          <t>DBL</t>
        </is>
      </c>
    </row>
    <row r="26">
      <c r="A26" s="2" t="n">
        <v>24</v>
      </c>
      <c r="B26" s="4" t="inlineStr">
        <is>
          <t>Król</t>
        </is>
      </c>
      <c r="C26" s="4" t="inlineStr">
        <is>
          <t>Robert</t>
        </is>
      </c>
      <c r="D26" s="6" t="n">
        <v>23960</v>
      </c>
      <c r="E26" s="28" t="n"/>
    </row>
    <row r="27">
      <c r="A27" s="2" t="n">
        <v>25</v>
      </c>
      <c r="B27" s="4" t="inlineStr">
        <is>
          <t>MICHALIK</t>
        </is>
      </c>
      <c r="C27" s="4" t="inlineStr">
        <is>
          <t>HALINA</t>
        </is>
      </c>
      <c r="D27" s="6" t="n">
        <v>17937</v>
      </c>
      <c r="E27" s="26" t="inlineStr">
        <is>
          <t>TWN</t>
        </is>
      </c>
    </row>
    <row r="28">
      <c r="A28" s="2" t="n">
        <v>26</v>
      </c>
      <c r="B28" s="4" t="inlineStr">
        <is>
          <t>Wróbel</t>
        </is>
      </c>
      <c r="C28" s="4" t="inlineStr">
        <is>
          <t>Bożena Janina</t>
        </is>
      </c>
      <c r="D28" s="6" t="n">
        <v>19827</v>
      </c>
      <c r="E28" s="28" t="n"/>
    </row>
    <row r="29">
      <c r="A29" s="2" t="n">
        <v>27</v>
      </c>
      <c r="B29" s="4" t="inlineStr">
        <is>
          <t>Kubiak-Adamczyk</t>
        </is>
      </c>
      <c r="C29" s="4" t="inlineStr">
        <is>
          <t>Sylwia</t>
        </is>
      </c>
      <c r="D29" s="6" t="n">
        <v>28163</v>
      </c>
      <c r="E29" s="25" t="inlineStr">
        <is>
          <t>DBL</t>
        </is>
      </c>
    </row>
    <row r="30">
      <c r="A30" s="2" t="n">
        <v>28</v>
      </c>
      <c r="B30" s="4" t="inlineStr">
        <is>
          <t>Adamczyk</t>
        </is>
      </c>
      <c r="C30" s="4" t="inlineStr">
        <is>
          <t>Maciej</t>
        </is>
      </c>
      <c r="D30" s="19" t="n">
        <v>29005</v>
      </c>
      <c r="E30" s="28" t="n"/>
    </row>
    <row r="31">
      <c r="A31" s="2" t="n">
        <v>29</v>
      </c>
      <c r="B31" s="4" t="inlineStr">
        <is>
          <t>DUDA</t>
        </is>
      </c>
      <c r="C31" s="4" t="inlineStr">
        <is>
          <t>JOLANTA</t>
        </is>
      </c>
      <c r="D31" s="6" t="n">
        <v>23184</v>
      </c>
      <c r="E31" s="26" t="inlineStr">
        <is>
          <t>TWN</t>
        </is>
      </c>
    </row>
    <row r="32">
      <c r="A32" s="2" t="n">
        <v>30</v>
      </c>
      <c r="B32" s="4" t="inlineStr">
        <is>
          <t>MRÓZ</t>
        </is>
      </c>
      <c r="C32" s="4" t="inlineStr">
        <is>
          <t>DANUTA STANISŁAWA</t>
        </is>
      </c>
      <c r="D32" s="6" t="n">
        <v>22203</v>
      </c>
      <c r="E32" s="28" t="n"/>
    </row>
    <row r="33">
      <c r="A33" s="2" t="n">
        <v>31</v>
      </c>
      <c r="B33" s="4" t="inlineStr">
        <is>
          <t>Wieczorek</t>
        </is>
      </c>
      <c r="C33" s="4" t="inlineStr">
        <is>
          <t>Mateusz</t>
        </is>
      </c>
      <c r="D33" s="6" t="n">
        <v>27669</v>
      </c>
      <c r="E33" s="27" t="inlineStr">
        <is>
          <t>TRP</t>
        </is>
      </c>
    </row>
    <row r="34">
      <c r="A34" s="2" t="n">
        <v>32</v>
      </c>
      <c r="B34" s="4" t="inlineStr">
        <is>
          <t>Wieczorek</t>
        </is>
      </c>
      <c r="C34" s="4" t="inlineStr">
        <is>
          <t>Karolina</t>
        </is>
      </c>
      <c r="D34" s="6" t="n">
        <v>28806</v>
      </c>
      <c r="E34" s="29" t="n"/>
    </row>
    <row r="35">
      <c r="A35" s="2" t="n">
        <v>33</v>
      </c>
      <c r="B35" s="4" t="inlineStr">
        <is>
          <t>Wieczorek</t>
        </is>
      </c>
      <c r="C35" s="4" t="inlineStr">
        <is>
          <t>Justyna</t>
        </is>
      </c>
      <c r="D35" s="6" t="n">
        <v>41227</v>
      </c>
      <c r="E35" s="28" t="n"/>
    </row>
    <row r="36">
      <c r="A36" s="2" t="n">
        <v>34</v>
      </c>
      <c r="B36" s="4" t="inlineStr">
        <is>
          <t>Stępień</t>
        </is>
      </c>
      <c r="C36" s="4" t="inlineStr">
        <is>
          <t>Henryk</t>
        </is>
      </c>
      <c r="D36" s="6" t="n">
        <v>19814</v>
      </c>
      <c r="E36" s="27" t="inlineStr">
        <is>
          <t>TRP</t>
        </is>
      </c>
    </row>
    <row r="37">
      <c r="A37" s="2" t="n">
        <v>35</v>
      </c>
      <c r="B37" s="4" t="inlineStr">
        <is>
          <t>Stępień</t>
        </is>
      </c>
      <c r="C37" s="4" t="inlineStr">
        <is>
          <t>Stanisława</t>
        </is>
      </c>
      <c r="D37" s="6" t="n">
        <v>21362</v>
      </c>
      <c r="E37" s="29" t="n"/>
    </row>
    <row r="38">
      <c r="A38" s="2" t="n">
        <v>36</v>
      </c>
      <c r="B38" s="4" t="inlineStr">
        <is>
          <t>Sołtys</t>
        </is>
      </c>
      <c r="C38" s="4" t="inlineStr">
        <is>
          <t>Monika</t>
        </is>
      </c>
      <c r="D38" s="19" t="n">
        <v>23414</v>
      </c>
      <c r="E38" s="28" t="n"/>
    </row>
    <row r="39">
      <c r="A39" s="2" t="n">
        <v>37</v>
      </c>
      <c r="B39" s="4" t="inlineStr">
        <is>
          <t>Kołodziej</t>
        </is>
      </c>
      <c r="C39" s="4" t="inlineStr">
        <is>
          <t>Marta</t>
        </is>
      </c>
      <c r="D39" s="19" t="n">
        <v>45075</v>
      </c>
      <c r="E39" s="25" t="inlineStr">
        <is>
          <t>DBL</t>
        </is>
      </c>
    </row>
    <row r="40">
      <c r="A40" s="2" t="n">
        <v>38</v>
      </c>
      <c r="B40" s="4" t="inlineStr">
        <is>
          <t>Kołodziej</t>
        </is>
      </c>
      <c r="C40" s="4" t="inlineStr">
        <is>
          <t>Damian Patryk</t>
        </is>
      </c>
      <c r="D40" s="19" t="n">
        <v>29883</v>
      </c>
      <c r="E40" s="28" t="n"/>
    </row>
    <row r="41">
      <c r="A41" s="2" t="n">
        <v>39</v>
      </c>
      <c r="B41" s="4" t="inlineStr">
        <is>
          <t>Zielińska</t>
        </is>
      </c>
      <c r="C41" s="4" t="inlineStr">
        <is>
          <t>Karolina Sylwia</t>
        </is>
      </c>
      <c r="D41" s="6" t="n">
        <v>36556</v>
      </c>
      <c r="E41" s="26" t="inlineStr">
        <is>
          <t>TWN</t>
        </is>
      </c>
    </row>
    <row r="42">
      <c r="A42" s="2" t="n">
        <v>40</v>
      </c>
      <c r="B42" s="4" t="inlineStr">
        <is>
          <t>Czajka</t>
        </is>
      </c>
      <c r="C42" s="4" t="inlineStr">
        <is>
          <t>Weronika</t>
        </is>
      </c>
      <c r="D42" s="6" t="n">
        <v>39328</v>
      </c>
      <c r="E42" s="28" t="n"/>
    </row>
    <row r="43">
      <c r="A43" s="2" t="n">
        <v>41</v>
      </c>
      <c r="B43" s="4" t="inlineStr">
        <is>
          <t>Szymański</t>
        </is>
      </c>
      <c r="C43" s="4" t="inlineStr">
        <is>
          <t>Kamil</t>
        </is>
      </c>
      <c r="D43" s="6" t="n">
        <v>39899</v>
      </c>
      <c r="E43" s="26" t="inlineStr">
        <is>
          <t>TWN</t>
        </is>
      </c>
    </row>
    <row r="44">
      <c r="A44" s="2" t="n">
        <v>42</v>
      </c>
      <c r="B44" s="4" t="inlineStr">
        <is>
          <t>Sobczak</t>
        </is>
      </c>
      <c r="C44" s="4" t="inlineStr">
        <is>
          <t>Grzegorz</t>
        </is>
      </c>
      <c r="D44" s="6" t="n">
        <v>31104</v>
      </c>
      <c r="E44" s="28" t="n"/>
    </row>
    <row r="45">
      <c r="A45" s="2" t="n">
        <v>43</v>
      </c>
      <c r="B45" s="4" t="inlineStr">
        <is>
          <t>Bąk</t>
        </is>
      </c>
      <c r="C45" s="4" t="inlineStr">
        <is>
          <t>Rafał</t>
        </is>
      </c>
      <c r="D45" s="6" t="n">
        <v>26897</v>
      </c>
      <c r="E45" s="25" t="inlineStr">
        <is>
          <t>DBL</t>
        </is>
      </c>
    </row>
    <row r="46">
      <c r="A46" s="2" t="n">
        <v>44</v>
      </c>
      <c r="B46" s="4" t="inlineStr">
        <is>
          <t>Bąk</t>
        </is>
      </c>
      <c r="C46" s="4" t="inlineStr">
        <is>
          <t>Justyna</t>
        </is>
      </c>
      <c r="D46" s="19" t="n">
        <v>28078</v>
      </c>
      <c r="E46" s="28" t="n"/>
    </row>
    <row r="47">
      <c r="A47" s="2" t="n">
        <v>45</v>
      </c>
      <c r="B47" s="4" t="inlineStr">
        <is>
          <t>Kula</t>
        </is>
      </c>
      <c r="C47" s="4" t="inlineStr">
        <is>
          <t>Zdzisław Ryszard</t>
        </is>
      </c>
      <c r="D47" s="6" t="n">
        <v>22136</v>
      </c>
      <c r="E47" s="25" t="inlineStr">
        <is>
          <t>DBL</t>
        </is>
      </c>
    </row>
    <row r="48">
      <c r="A48" s="2" t="n">
        <v>46</v>
      </c>
      <c r="B48" s="4" t="inlineStr">
        <is>
          <t>Kula</t>
        </is>
      </c>
      <c r="C48" s="4" t="inlineStr">
        <is>
          <t>Bożena Halina</t>
        </is>
      </c>
      <c r="D48" s="6" t="n">
        <v>22121</v>
      </c>
      <c r="E48" s="28" t="n"/>
    </row>
    <row r="49">
      <c r="A49" s="2" t="n">
        <v>47</v>
      </c>
      <c r="B49" s="3" t="inlineStr">
        <is>
          <t>Driver 1</t>
        </is>
      </c>
      <c r="E49" s="11" t="inlineStr">
        <is>
          <t>TWN</t>
        </is>
      </c>
    </row>
    <row r="50">
      <c r="A50" s="2" t="n">
        <v>48</v>
      </c>
      <c r="B50" s="3" t="inlineStr">
        <is>
          <t>Driver 2</t>
        </is>
      </c>
      <c r="E50" s="28" t="n"/>
    </row>
    <row r="53" ht="26" customHeight="1">
      <c r="B53" s="1" t="n"/>
      <c r="C53" s="9" t="inlineStr">
        <is>
          <t>number of room</t>
        </is>
      </c>
      <c r="D53" s="9" t="inlineStr">
        <is>
          <t>number of people</t>
        </is>
      </c>
    </row>
    <row r="54">
      <c r="B54" s="8" t="inlineStr">
        <is>
          <t>SGL</t>
        </is>
      </c>
      <c r="C54" s="9">
        <f>COUNTIFS($E$3:$E$50,B54)</f>
        <v/>
      </c>
      <c r="D54" s="10">
        <f>C54*1</f>
        <v/>
      </c>
    </row>
    <row r="55">
      <c r="B55" s="11" t="inlineStr">
        <is>
          <t>TWN</t>
        </is>
      </c>
      <c r="C55" s="9">
        <f>COUNTIFS($E$3:$E$50,B55)</f>
        <v/>
      </c>
      <c r="D55" s="12">
        <f>C55*2</f>
        <v/>
      </c>
    </row>
    <row r="56">
      <c r="B56" s="13" t="inlineStr">
        <is>
          <t>DBL</t>
        </is>
      </c>
      <c r="C56" s="9">
        <f>COUNTIFS($E$3:$E$50,B56)</f>
        <v/>
      </c>
      <c r="D56" s="12">
        <f>C56*2</f>
        <v/>
      </c>
    </row>
    <row r="57">
      <c r="B57" s="15" t="inlineStr">
        <is>
          <t>TRP</t>
        </is>
      </c>
      <c r="C57" s="9">
        <f>COUNTIFS($E$3:$E$50,B57)</f>
        <v/>
      </c>
      <c r="D57" s="14">
        <f>C57*3</f>
        <v/>
      </c>
    </row>
    <row r="58">
      <c r="B58" s="16" t="inlineStr">
        <is>
          <t>No. of rooms / people</t>
        </is>
      </c>
      <c r="C58" s="17">
        <f>SUM(C54:C57)</f>
        <v/>
      </c>
      <c r="D58" s="17">
        <f>SUM(D54:D57)</f>
        <v/>
      </c>
    </row>
  </sheetData>
  <mergeCells count="27">
    <mergeCell ref="E36:E38"/>
    <mergeCell ref="E43:E44"/>
    <mergeCell ref="E5:E6"/>
    <mergeCell ref="E39:E40"/>
    <mergeCell ref="E17:E18"/>
    <mergeCell ref="E13:E14"/>
    <mergeCell ref="E29:E30"/>
    <mergeCell ref="C1:C2"/>
    <mergeCell ref="E23:E24"/>
    <mergeCell ref="E1:E2"/>
    <mergeCell ref="E19:E20"/>
    <mergeCell ref="E9:E10"/>
    <mergeCell ref="E15:E16"/>
    <mergeCell ref="B1:B2"/>
    <mergeCell ref="E31:E32"/>
    <mergeCell ref="E49:E50"/>
    <mergeCell ref="E11:E12"/>
    <mergeCell ref="E33:E35"/>
    <mergeCell ref="E27:E28"/>
    <mergeCell ref="E45:E46"/>
    <mergeCell ref="E7:E8"/>
    <mergeCell ref="E41:E42"/>
    <mergeCell ref="E25:E26"/>
    <mergeCell ref="E47:E48"/>
    <mergeCell ref="E21:E22"/>
    <mergeCell ref="D1:D2"/>
    <mergeCell ref="A1:A2"/>
  </mergeCells>
  <pageMargins left="0.1181102362204725" right="0.1181102362204725" top="0.1574803149606299" bottom="0.1574803149606299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2006-09-22T13:37:51Z</dcterms:created>
  <dcterms:modified xmlns:dcterms="http://purl.org/dc/terms/" xmlns:xsi="http://www.w3.org/2001/XMLSchema-instance" xsi:type="dcterms:W3CDTF">2026-06-23T09:39:39Z</dcterms:modified>
</cp:coreProperties>
</file>